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5" windowWidth="19035" windowHeight="12015"/>
  </bookViews>
  <sheets>
    <sheet name="Plan1" sheetId="1" r:id="rId1"/>
    <sheet name="Plan2" sheetId="2" r:id="rId2"/>
    <sheet name="Plan3" sheetId="3" r:id="rId3"/>
  </sheets>
  <calcPr calcId="125725"/>
</workbook>
</file>

<file path=xl/calcChain.xml><?xml version="1.0" encoding="utf-8"?>
<calcChain xmlns="http://schemas.openxmlformats.org/spreadsheetml/2006/main">
  <c r="C29" i="1"/>
  <c r="C28"/>
  <c r="C27"/>
  <c r="C26"/>
  <c r="C25"/>
  <c r="C24"/>
  <c r="C23"/>
  <c r="C22"/>
  <c r="B18"/>
  <c r="B10"/>
  <c r="B9"/>
  <c r="C121" l="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</calcChain>
</file>

<file path=xl/sharedStrings.xml><?xml version="1.0" encoding="utf-8"?>
<sst xmlns="http://schemas.openxmlformats.org/spreadsheetml/2006/main" count="44" uniqueCount="37">
  <si>
    <t>Cálculo de Imposto de Renda</t>
  </si>
  <si>
    <t>Digite os dados para calcular o imposto de renda:</t>
  </si>
  <si>
    <t>Total de Imposto DEVIDO no ANO</t>
  </si>
  <si>
    <t>Total de Imposto PAGO no ANO</t>
  </si>
  <si>
    <t>Imposto A RECEBER</t>
  </si>
  <si>
    <t>Imposto A PAGAR</t>
  </si>
  <si>
    <t>PARCELAMENTO IMPOSTO A PAGAR</t>
  </si>
  <si>
    <t>Número de Cotas (até 8)</t>
  </si>
  <si>
    <t>Total de Imposto A PAGAR</t>
  </si>
  <si>
    <t>Cota N°</t>
  </si>
  <si>
    <t>Valor Cota</t>
  </si>
  <si>
    <t>Sub Prova()</t>
  </si>
  <si>
    <t>'</t>
  </si>
  <si>
    <t>' Prova Macro</t>
  </si>
  <si>
    <t>' Cálculo  de Imposto de Renda</t>
  </si>
  <si>
    <t xml:space="preserve">    Range("B5").Select</t>
  </si>
  <si>
    <t xml:space="preserve">    Selection.Style = "Currency"</t>
  </si>
  <si>
    <t xml:space="preserve">    Range("B7").Select</t>
  </si>
  <si>
    <t xml:space="preserve">    Range("B9").Select</t>
  </si>
  <si>
    <t xml:space="preserve">    ActiveCell.FormulaR1C1 = "4000"</t>
  </si>
  <si>
    <t xml:space="preserve">    ActiveCell.FormulaR1C1 = "1200"</t>
  </si>
  <si>
    <t xml:space="preserve">    ActiveCell.FormulaR1C1 = "=IF(R[-4]C&lt;R[-2]C,R[-4]C-R[-2]C,""-"")"</t>
  </si>
  <si>
    <t xml:space="preserve">    With Selection</t>
  </si>
  <si>
    <t xml:space="preserve">        .HorizontalAlignment = xlCenter</t>
  </si>
  <si>
    <t xml:space="preserve">        .VerticalAlignment = xlBottom</t>
  </si>
  <si>
    <t xml:space="preserve">        .WrapText = False</t>
  </si>
  <si>
    <t xml:space="preserve">        .Orientation = 0</t>
  </si>
  <si>
    <t xml:space="preserve">        .AddIndent = False</t>
  </si>
  <si>
    <t xml:space="preserve">        .IndentLevel = 0</t>
  </si>
  <si>
    <t xml:space="preserve">        .ShrinkToFit = False</t>
  </si>
  <si>
    <t xml:space="preserve">        .ReadingOrder = xlContext</t>
  </si>
  <si>
    <t xml:space="preserve">        .MergeCells = False</t>
  </si>
  <si>
    <t xml:space="preserve">    End With</t>
  </si>
  <si>
    <t xml:space="preserve">    Range("B10").Select</t>
  </si>
  <si>
    <t xml:space="preserve">    ActiveCell.FormulaR1C1 = "=IF(R[-5]C&gt;R[-3]C,R[-5]C-R[-3]C,""-"")"</t>
  </si>
  <si>
    <t xml:space="preserve">    </t>
  </si>
  <si>
    <t>' Parcelamento Imposto a a pagar</t>
  </si>
</sst>
</file>

<file path=xl/styles.xml><?xml version="1.0" encoding="utf-8"?>
<styleSheet xmlns="http://schemas.openxmlformats.org/spreadsheetml/2006/main">
  <numFmts count="1">
    <numFmt numFmtId="44" formatCode="_(&quot;R$ &quot;* #,##0.00_);_(&quot;R$ &quot;* \(#,##0.00\);_(&quot;R$ &quot;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0" fillId="2" borderId="0" xfId="0" applyFill="1" applyAlignment="1">
      <alignment horizontal="center"/>
    </xf>
    <xf numFmtId="44" fontId="0" fillId="0" borderId="1" xfId="1" applyFont="1" applyBorder="1"/>
    <xf numFmtId="44" fontId="0" fillId="0" borderId="1" xfId="1" applyFont="1" applyBorder="1" applyAlignment="1">
      <alignment horizontal="center"/>
    </xf>
    <xf numFmtId="0" fontId="0" fillId="0" borderId="1" xfId="0" applyFont="1" applyBorder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G121"/>
  <sheetViews>
    <sheetView showGridLines="0" tabSelected="1" topLeftCell="A4" workbookViewId="0">
      <selection activeCell="C29" sqref="C29"/>
    </sheetView>
  </sheetViews>
  <sheetFormatPr defaultRowHeight="15"/>
  <cols>
    <col min="1" max="1" width="45.140625" bestFit="1" customWidth="1"/>
    <col min="2" max="2" width="13.28515625" bestFit="1" customWidth="1"/>
    <col min="3" max="3" width="10.5703125" bestFit="1" customWidth="1"/>
  </cols>
  <sheetData>
    <row r="1" spans="1:7">
      <c r="A1" s="2" t="s">
        <v>0</v>
      </c>
      <c r="B1" s="2"/>
      <c r="C1" s="2"/>
      <c r="D1" s="2"/>
      <c r="E1" s="2"/>
      <c r="F1" s="2"/>
      <c r="G1" s="2"/>
    </row>
    <row r="2" spans="1:7">
      <c r="A2" t="s">
        <v>1</v>
      </c>
    </row>
    <row r="5" spans="1:7">
      <c r="A5" t="s">
        <v>2</v>
      </c>
      <c r="B5" s="3">
        <v>4000</v>
      </c>
    </row>
    <row r="7" spans="1:7">
      <c r="A7" t="s">
        <v>3</v>
      </c>
      <c r="B7" s="3">
        <v>1200</v>
      </c>
    </row>
    <row r="9" spans="1:7">
      <c r="A9" t="s">
        <v>4</v>
      </c>
      <c r="B9" s="4" t="str">
        <f>IF(B5&lt;B7,B5-B7,"-")</f>
        <v>-</v>
      </c>
    </row>
    <row r="10" spans="1:7">
      <c r="A10" t="s">
        <v>5</v>
      </c>
      <c r="B10" s="3">
        <f>IF(B5&gt;B7,B5-B7,"-")</f>
        <v>2800</v>
      </c>
    </row>
    <row r="15" spans="1:7">
      <c r="A15" s="2" t="s">
        <v>6</v>
      </c>
      <c r="B15" s="2"/>
      <c r="C15" s="2"/>
      <c r="D15" s="2"/>
      <c r="E15" s="2"/>
      <c r="F15" s="2"/>
      <c r="G15" s="2"/>
    </row>
    <row r="17" spans="1:3">
      <c r="A17" t="s">
        <v>7</v>
      </c>
      <c r="B17" s="1">
        <v>8</v>
      </c>
    </row>
    <row r="18" spans="1:3">
      <c r="A18" t="s">
        <v>8</v>
      </c>
      <c r="B18" s="3">
        <f>B10</f>
        <v>2800</v>
      </c>
    </row>
    <row r="21" spans="1:3">
      <c r="B21" s="5" t="s">
        <v>9</v>
      </c>
      <c r="C21" s="5" t="s">
        <v>10</v>
      </c>
    </row>
    <row r="22" spans="1:3">
      <c r="B22">
        <v>1</v>
      </c>
      <c r="C22" s="6">
        <f>B18/B17</f>
        <v>350</v>
      </c>
    </row>
    <row r="23" spans="1:3">
      <c r="B23">
        <v>2</v>
      </c>
      <c r="C23" s="6">
        <f>B18/B17</f>
        <v>350</v>
      </c>
    </row>
    <row r="24" spans="1:3">
      <c r="B24">
        <v>3</v>
      </c>
      <c r="C24" s="6">
        <f>B18/B17</f>
        <v>350</v>
      </c>
    </row>
    <row r="25" spans="1:3">
      <c r="B25">
        <v>4</v>
      </c>
      <c r="C25" s="6">
        <f>B18/B17</f>
        <v>350</v>
      </c>
    </row>
    <row r="26" spans="1:3">
      <c r="B26">
        <v>5</v>
      </c>
      <c r="C26" s="6">
        <f>B18/B17</f>
        <v>350</v>
      </c>
    </row>
    <row r="27" spans="1:3">
      <c r="B27">
        <v>6</v>
      </c>
      <c r="C27" s="6">
        <f>B18/B17</f>
        <v>350</v>
      </c>
    </row>
    <row r="28" spans="1:3">
      <c r="B28">
        <v>7</v>
      </c>
      <c r="C28" s="6">
        <f>B18/B17</f>
        <v>350</v>
      </c>
    </row>
    <row r="29" spans="1:3">
      <c r="B29">
        <v>8</v>
      </c>
      <c r="C29" s="6">
        <f>B18/B17</f>
        <v>350</v>
      </c>
    </row>
    <row r="101" spans="2:3">
      <c r="B101">
        <v>80</v>
      </c>
      <c r="C101" s="6">
        <f>B18/B17</f>
        <v>350</v>
      </c>
    </row>
    <row r="102" spans="2:3">
      <c r="B102">
        <v>81</v>
      </c>
      <c r="C102" s="6">
        <f>B18/B17</f>
        <v>350</v>
      </c>
    </row>
    <row r="103" spans="2:3">
      <c r="B103">
        <v>82</v>
      </c>
      <c r="C103" s="6">
        <f>B18/B17</f>
        <v>350</v>
      </c>
    </row>
    <row r="104" spans="2:3">
      <c r="B104">
        <v>83</v>
      </c>
      <c r="C104" s="6">
        <f>B18/B17</f>
        <v>350</v>
      </c>
    </row>
    <row r="105" spans="2:3">
      <c r="B105">
        <v>84</v>
      </c>
      <c r="C105" s="6">
        <f>B18/B17</f>
        <v>350</v>
      </c>
    </row>
    <row r="106" spans="2:3">
      <c r="B106">
        <v>85</v>
      </c>
      <c r="C106" s="6">
        <f>B18/B17</f>
        <v>350</v>
      </c>
    </row>
    <row r="107" spans="2:3">
      <c r="B107">
        <v>86</v>
      </c>
      <c r="C107" s="6">
        <f>B18/B17</f>
        <v>350</v>
      </c>
    </row>
    <row r="108" spans="2:3">
      <c r="B108">
        <v>87</v>
      </c>
      <c r="C108" s="6">
        <f>B18/B17</f>
        <v>350</v>
      </c>
    </row>
    <row r="109" spans="2:3">
      <c r="B109">
        <v>88</v>
      </c>
      <c r="C109" s="6">
        <f>B18/B17</f>
        <v>350</v>
      </c>
    </row>
    <row r="110" spans="2:3">
      <c r="B110">
        <v>89</v>
      </c>
      <c r="C110" s="6">
        <f>B18/B17</f>
        <v>350</v>
      </c>
    </row>
    <row r="111" spans="2:3">
      <c r="B111">
        <v>90</v>
      </c>
      <c r="C111" s="6">
        <f>B18/B17</f>
        <v>350</v>
      </c>
    </row>
    <row r="112" spans="2:3">
      <c r="B112">
        <v>91</v>
      </c>
      <c r="C112" s="6">
        <f>B18/B17</f>
        <v>350</v>
      </c>
    </row>
    <row r="113" spans="2:3">
      <c r="B113">
        <v>92</v>
      </c>
      <c r="C113" s="6">
        <f>B18/B17</f>
        <v>350</v>
      </c>
    </row>
    <row r="114" spans="2:3">
      <c r="B114">
        <v>93</v>
      </c>
      <c r="C114" s="6">
        <f>B18/B17</f>
        <v>350</v>
      </c>
    </row>
    <row r="115" spans="2:3">
      <c r="B115">
        <v>94</v>
      </c>
      <c r="C115" s="6">
        <f>B18/B17</f>
        <v>350</v>
      </c>
    </row>
    <row r="116" spans="2:3">
      <c r="B116">
        <v>95</v>
      </c>
      <c r="C116" s="6">
        <f>B18/B17</f>
        <v>350</v>
      </c>
    </row>
    <row r="117" spans="2:3">
      <c r="B117">
        <v>96</v>
      </c>
      <c r="C117" s="6">
        <f>B18/B17</f>
        <v>350</v>
      </c>
    </row>
    <row r="118" spans="2:3">
      <c r="B118">
        <v>97</v>
      </c>
      <c r="C118" s="6">
        <f>B18/B17</f>
        <v>350</v>
      </c>
    </row>
    <row r="119" spans="2:3">
      <c r="B119">
        <v>98</v>
      </c>
      <c r="C119" s="6">
        <f>B18/B17</f>
        <v>350</v>
      </c>
    </row>
    <row r="120" spans="2:3">
      <c r="B120">
        <v>99</v>
      </c>
      <c r="C120" s="6">
        <f>B18/B17</f>
        <v>350</v>
      </c>
    </row>
    <row r="121" spans="2:3">
      <c r="B121">
        <v>100</v>
      </c>
      <c r="C121" s="6">
        <f>B18/B17</f>
        <v>350</v>
      </c>
    </row>
  </sheetData>
  <mergeCells count="2">
    <mergeCell ref="A1:G1"/>
    <mergeCell ref="A15:G15"/>
  </mergeCells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35"/>
  <sheetViews>
    <sheetView workbookViewId="0">
      <selection sqref="A1:A36"/>
    </sheetView>
  </sheetViews>
  <sheetFormatPr defaultRowHeight="15"/>
  <sheetData>
    <row r="1" spans="1:1">
      <c r="A1" t="s">
        <v>11</v>
      </c>
    </row>
    <row r="2" spans="1:1">
      <c r="A2" t="s">
        <v>12</v>
      </c>
    </row>
    <row r="3" spans="1:1">
      <c r="A3" t="s">
        <v>13</v>
      </c>
    </row>
    <row r="4" spans="1:1">
      <c r="A4" t="s">
        <v>12</v>
      </c>
    </row>
    <row r="6" spans="1:1">
      <c r="A6" t="s">
        <v>14</v>
      </c>
    </row>
    <row r="8" spans="1:1">
      <c r="A8" t="s">
        <v>15</v>
      </c>
    </row>
    <row r="9" spans="1:1">
      <c r="A9" t="s">
        <v>16</v>
      </c>
    </row>
    <row r="10" spans="1:1">
      <c r="A10" t="s">
        <v>17</v>
      </c>
    </row>
    <row r="11" spans="1:1">
      <c r="A11" t="s">
        <v>16</v>
      </c>
    </row>
    <row r="12" spans="1:1">
      <c r="A12" t="s">
        <v>18</v>
      </c>
    </row>
    <row r="13" spans="1:1">
      <c r="A13" t="s">
        <v>19</v>
      </c>
    </row>
    <row r="14" spans="1:1">
      <c r="A14" t="s">
        <v>16</v>
      </c>
    </row>
    <row r="15" spans="1:1">
      <c r="A15" t="s">
        <v>17</v>
      </c>
    </row>
    <row r="16" spans="1:1">
      <c r="A16" t="s">
        <v>20</v>
      </c>
    </row>
    <row r="17" spans="1:1">
      <c r="A17" t="s">
        <v>18</v>
      </c>
    </row>
    <row r="18" spans="1:1">
      <c r="A18" t="s">
        <v>21</v>
      </c>
    </row>
    <row r="19" spans="1:1">
      <c r="A19" t="s">
        <v>22</v>
      </c>
    </row>
    <row r="20" spans="1:1">
      <c r="A20" t="s">
        <v>23</v>
      </c>
    </row>
    <row r="21" spans="1:1">
      <c r="A21" t="s">
        <v>24</v>
      </c>
    </row>
    <row r="22" spans="1:1">
      <c r="A22" t="s">
        <v>25</v>
      </c>
    </row>
    <row r="23" spans="1:1">
      <c r="A23" t="s">
        <v>26</v>
      </c>
    </row>
    <row r="24" spans="1:1">
      <c r="A24" t="s">
        <v>27</v>
      </c>
    </row>
    <row r="25" spans="1:1">
      <c r="A25" t="s">
        <v>28</v>
      </c>
    </row>
    <row r="26" spans="1:1">
      <c r="A26" t="s">
        <v>29</v>
      </c>
    </row>
    <row r="27" spans="1:1">
      <c r="A27" t="s">
        <v>30</v>
      </c>
    </row>
    <row r="28" spans="1:1">
      <c r="A28" t="s">
        <v>31</v>
      </c>
    </row>
    <row r="29" spans="1:1">
      <c r="A29" t="s">
        <v>32</v>
      </c>
    </row>
    <row r="30" spans="1:1">
      <c r="A30" t="s">
        <v>33</v>
      </c>
    </row>
    <row r="31" spans="1:1">
      <c r="A31" t="s">
        <v>34</v>
      </c>
    </row>
    <row r="32" spans="1:1">
      <c r="A32" t="s">
        <v>33</v>
      </c>
    </row>
    <row r="33" spans="1:1">
      <c r="A33" t="s">
        <v>16</v>
      </c>
    </row>
    <row r="34" spans="1:1">
      <c r="A34" t="s">
        <v>35</v>
      </c>
    </row>
    <row r="35" spans="1:1">
      <c r="A35" t="s">
        <v>36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2019-09-23T21:20:01Z</dcterms:created>
  <dcterms:modified xsi:type="dcterms:W3CDTF">2019-09-23T22:19:51Z</dcterms:modified>
</cp:coreProperties>
</file>